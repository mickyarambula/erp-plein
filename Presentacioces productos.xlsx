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yarambula/Desktop/erp-plein/"/>
    </mc:Choice>
  </mc:AlternateContent>
  <xr:revisionPtr revIDLastSave="0" documentId="13_ncr:1_{EC62B150-5571-7843-B88E-84CA57B75C93}" xr6:coauthVersionLast="47" xr6:coauthVersionMax="47" xr10:uidLastSave="{00000000-0000-0000-0000-000000000000}"/>
  <bookViews>
    <workbookView xWindow="8000" yWindow="2300" windowWidth="26840" windowHeight="15740" xr2:uid="{A51E0920-E9C2-584D-829E-2A3960C036C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5" i="1" l="1"/>
  <c r="Q14" i="1"/>
  <c r="Q13" i="1"/>
  <c r="Q12" i="1"/>
  <c r="Q11" i="1"/>
  <c r="Q10" i="1"/>
  <c r="P5" i="1"/>
  <c r="G10" i="1"/>
  <c r="H10" i="1" s="1"/>
  <c r="H9" i="1"/>
  <c r="H8" i="1"/>
  <c r="H7" i="1"/>
  <c r="H6" i="1"/>
  <c r="H5" i="1"/>
  <c r="H22" i="1"/>
  <c r="G22" i="1"/>
  <c r="H21" i="1"/>
  <c r="H20" i="1"/>
  <c r="H19" i="1"/>
  <c r="H18" i="1"/>
  <c r="H17" i="1"/>
  <c r="H16" i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I35" i="1"/>
  <c r="J35" i="1" s="1"/>
  <c r="I37" i="1"/>
  <c r="J37" i="1" s="1"/>
  <c r="I36" i="1"/>
  <c r="J36" i="1" s="1"/>
  <c r="I34" i="1"/>
  <c r="J34" i="1" s="1"/>
  <c r="I33" i="1"/>
  <c r="J33" i="1" s="1"/>
</calcChain>
</file>

<file path=xl/sharedStrings.xml><?xml version="1.0" encoding="utf-8"?>
<sst xmlns="http://schemas.openxmlformats.org/spreadsheetml/2006/main" count="183" uniqueCount="91">
  <si>
    <t>Mercado</t>
  </si>
  <si>
    <t>Presentación</t>
  </si>
  <si>
    <t>Retail</t>
  </si>
  <si>
    <t>8 bolsas/caja</t>
  </si>
  <si>
    <t>Food Service</t>
  </si>
  <si>
    <t>Loose</t>
  </si>
  <si>
    <t>5 lb</t>
  </si>
  <si>
    <t>Caja encerada</t>
  </si>
  <si>
    <t>10 lb</t>
  </si>
  <si>
    <t>Bolsa</t>
  </si>
  <si>
    <t>18 ct Iced</t>
  </si>
  <si>
    <t>Peso neto por caja</t>
  </si>
  <si>
    <t>Peso neto por pallet</t>
  </si>
  <si>
    <t>Pallets por camión (53')</t>
  </si>
  <si>
    <t>Cajas por camión</t>
  </si>
  <si>
    <t>14 × 8 oz</t>
  </si>
  <si>
    <t>7 lb</t>
  </si>
  <si>
    <t>4 × 4 lb</t>
  </si>
  <si>
    <t>16 lb</t>
  </si>
  <si>
    <t>10 lb Loose</t>
  </si>
  <si>
    <t>20 lb Loose</t>
  </si>
  <si>
    <t>20 lb</t>
  </si>
  <si>
    <t>12 lb</t>
  </si>
  <si>
    <t xml:space="preserve">18 Bunches </t>
  </si>
  <si>
    <t>4 bags of 4 lb</t>
  </si>
  <si>
    <t>14 bunch of 8 oz</t>
  </si>
  <si>
    <t>Total Peso</t>
  </si>
  <si>
    <t>Cajas por pallet</t>
  </si>
  <si>
    <t>6 ct</t>
  </si>
  <si>
    <t>40 lb</t>
  </si>
  <si>
    <t>8 ct</t>
  </si>
  <si>
    <t>10 ct</t>
  </si>
  <si>
    <t>12 ct</t>
  </si>
  <si>
    <t>35 lb Loose</t>
  </si>
  <si>
    <t>35 lb</t>
  </si>
  <si>
    <t>40 lb Loose</t>
  </si>
  <si>
    <t>9 ct</t>
  </si>
  <si>
    <t>Broccolini</t>
  </si>
  <si>
    <t>PAPAYA</t>
  </si>
  <si>
    <t>1 ct</t>
  </si>
  <si>
    <t>2 ct</t>
  </si>
  <si>
    <t>3 ct</t>
  </si>
  <si>
    <t>4 ct</t>
  </si>
  <si>
    <t>Jackfruit</t>
  </si>
  <si>
    <t>PLATANO THAI</t>
  </si>
  <si>
    <t>CLUSTERS</t>
  </si>
  <si>
    <t>1 lb Bag</t>
  </si>
  <si>
    <t>12 bolsas/caja</t>
  </si>
  <si>
    <t>2 lb Bag</t>
  </si>
  <si>
    <t>5 lb Bag (Club Pack)</t>
  </si>
  <si>
    <t>4 bolsas/caja</t>
  </si>
  <si>
    <t>25 lb</t>
  </si>
  <si>
    <t>Cleaned &amp; Trimmed</t>
  </si>
  <si>
    <t>Halved</t>
  </si>
  <si>
    <t>Col de bruselas</t>
  </si>
  <si>
    <t>Descripcion</t>
  </si>
  <si>
    <t>11 × 1 lb</t>
  </si>
  <si>
    <t>11 lb</t>
  </si>
  <si>
    <t>12 × 1 lb</t>
  </si>
  <si>
    <t>12 × 12 oz</t>
  </si>
  <si>
    <t>9 lb</t>
  </si>
  <si>
    <t>28 × 8 oz</t>
  </si>
  <si>
    <t>14 lb</t>
  </si>
  <si>
    <t>5 lb Club Pack</t>
  </si>
  <si>
    <t>28 lb</t>
  </si>
  <si>
    <t>Tips &amp; Cuts</t>
  </si>
  <si>
    <t>Peeled Spears</t>
  </si>
  <si>
    <t>Esparrago</t>
  </si>
  <si>
    <t>11 bags/bunches of 1 lb</t>
  </si>
  <si>
    <t>12 bags/bunches of 1 lb</t>
  </si>
  <si>
    <t>Loose Product</t>
  </si>
  <si>
    <t>12 bunches of 12 oz</t>
  </si>
  <si>
    <t>28 bunches of 8 oz</t>
  </si>
  <si>
    <t>8 x 2 lb</t>
  </si>
  <si>
    <t>8 bags/bunches of 2 lb</t>
  </si>
  <si>
    <t>4 bags of 5 lb</t>
  </si>
  <si>
    <t>Bulk</t>
  </si>
  <si>
    <t>Bag</t>
  </si>
  <si>
    <t>36 lb</t>
  </si>
  <si>
    <t>Customer</t>
  </si>
  <si>
    <t>Presentation</t>
  </si>
  <si>
    <t>Approx. weight/box</t>
  </si>
  <si>
    <t>Boxes/Pallet</t>
  </si>
  <si>
    <t>Pallets Per Load</t>
  </si>
  <si>
    <t>Boxes Per Load</t>
  </si>
  <si>
    <t>Total Weight (lb)</t>
  </si>
  <si>
    <t>34 lb</t>
  </si>
  <si>
    <t>Description</t>
  </si>
  <si>
    <t>960 lb</t>
  </si>
  <si>
    <t>924 lb</t>
  </si>
  <si>
    <t>800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</si>
</sst>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82DC-57CF-8842-A55B-371750DCAD8C}">
  <dimension ref="A3:T37"/>
  <sheetViews>
    <sheetView tabSelected="1" workbookViewId="0">
      <selection activeCell="G38" sqref="G38"/>
    </sheetView>
  </sheetViews>
  <sheetFormatPr baseColWidth="10" defaultRowHeight="16" x14ac:dyDescent="0.2"/>
  <cols>
    <col min="2" max="2" width="11.5" bestFit="1" customWidth="1"/>
    <col min="3" max="3" width="12.6640625" bestFit="1" customWidth="1"/>
    <col min="4" max="4" width="17.6640625" bestFit="1" customWidth="1"/>
    <col min="5" max="5" width="16.33203125" bestFit="1" customWidth="1"/>
    <col min="6" max="8" width="20.83203125" bestFit="1" customWidth="1"/>
    <col min="9" max="9" width="15.83203125" bestFit="1" customWidth="1"/>
    <col min="10" max="10" width="15.83203125" customWidth="1"/>
    <col min="11" max="11" width="24.83203125" bestFit="1" customWidth="1"/>
    <col min="12" max="12" width="22" bestFit="1" customWidth="1"/>
    <col min="13" max="13" width="16.33203125" bestFit="1" customWidth="1"/>
    <col min="14" max="15" width="20.83203125" bestFit="1" customWidth="1"/>
    <col min="16" max="16" width="15.5" bestFit="1" customWidth="1"/>
    <col min="17" max="17" width="14.5" bestFit="1" customWidth="1"/>
  </cols>
  <sheetData>
    <row r="3" spans="1:20" x14ac:dyDescent="0.2">
      <c r="B3" s="17" t="s">
        <v>43</v>
      </c>
      <c r="C3" s="17"/>
      <c r="D3" s="17"/>
      <c r="E3" s="17"/>
      <c r="F3" s="17"/>
      <c r="G3" s="17"/>
      <c r="J3" s="16" t="s">
        <v>44</v>
      </c>
      <c r="K3" s="16"/>
      <c r="L3" s="16"/>
      <c r="M3" s="16"/>
      <c r="N3" s="16"/>
      <c r="O3" s="16"/>
    </row>
    <row r="4" spans="1:20" x14ac:dyDescent="0.2">
      <c r="A4" s="19"/>
      <c r="B4" s="20" t="s">
        <v>79</v>
      </c>
      <c r="C4" s="6" t="s">
        <v>80</v>
      </c>
      <c r="D4" s="6" t="s">
        <v>81</v>
      </c>
      <c r="E4" s="6" t="s">
        <v>82</v>
      </c>
      <c r="F4" s="6" t="s">
        <v>83</v>
      </c>
      <c r="G4" s="6" t="s">
        <v>84</v>
      </c>
      <c r="H4" s="8" t="s">
        <v>85</v>
      </c>
      <c r="I4" s="3"/>
      <c r="J4" s="14" t="s">
        <v>79</v>
      </c>
      <c r="K4" s="14" t="s">
        <v>80</v>
      </c>
      <c r="L4" s="14" t="s">
        <v>81</v>
      </c>
      <c r="M4" s="14" t="s">
        <v>82</v>
      </c>
      <c r="N4" s="14" t="s">
        <v>83</v>
      </c>
      <c r="O4" s="14" t="s">
        <v>84</v>
      </c>
      <c r="P4" s="15" t="s">
        <v>85</v>
      </c>
    </row>
    <row r="5" spans="1:20" x14ac:dyDescent="0.2">
      <c r="B5" s="7" t="s">
        <v>2</v>
      </c>
      <c r="C5" s="7" t="s">
        <v>39</v>
      </c>
      <c r="D5" s="7" t="s">
        <v>34</v>
      </c>
      <c r="E5" s="7">
        <v>48</v>
      </c>
      <c r="F5" s="7">
        <v>22</v>
      </c>
      <c r="G5" s="9">
        <v>1056</v>
      </c>
      <c r="H5" s="9">
        <f>G5*35</f>
        <v>36960</v>
      </c>
      <c r="I5" s="2"/>
      <c r="J5" s="7" t="s">
        <v>2</v>
      </c>
      <c r="K5" s="7" t="s">
        <v>45</v>
      </c>
      <c r="L5" s="7" t="s">
        <v>86</v>
      </c>
      <c r="M5" s="7">
        <v>48</v>
      </c>
      <c r="N5" s="7">
        <v>24</v>
      </c>
      <c r="O5" s="9">
        <v>1152</v>
      </c>
      <c r="P5" s="7">
        <f>O5*34</f>
        <v>39168</v>
      </c>
    </row>
    <row r="6" spans="1:20" x14ac:dyDescent="0.2">
      <c r="B6" s="7" t="s">
        <v>2</v>
      </c>
      <c r="C6" s="7" t="s">
        <v>40</v>
      </c>
      <c r="D6" s="7" t="s">
        <v>34</v>
      </c>
      <c r="E6" s="7">
        <v>48</v>
      </c>
      <c r="F6" s="7">
        <v>22</v>
      </c>
      <c r="G6" s="9">
        <v>1056</v>
      </c>
      <c r="H6" s="9">
        <f t="shared" ref="H6:H9" si="0">G6*35</f>
        <v>36960</v>
      </c>
      <c r="I6" s="2"/>
      <c r="J6" s="1"/>
    </row>
    <row r="7" spans="1:20" x14ac:dyDescent="0.2">
      <c r="B7" s="7" t="s">
        <v>2</v>
      </c>
      <c r="C7" s="7" t="s">
        <v>41</v>
      </c>
      <c r="D7" s="7" t="s">
        <v>34</v>
      </c>
      <c r="E7" s="7">
        <v>48</v>
      </c>
      <c r="F7" s="7">
        <v>22</v>
      </c>
      <c r="G7" s="9">
        <v>1056</v>
      </c>
      <c r="H7" s="9">
        <f t="shared" si="0"/>
        <v>36960</v>
      </c>
      <c r="I7" s="2"/>
      <c r="T7" s="2"/>
    </row>
    <row r="8" spans="1:20" x14ac:dyDescent="0.2">
      <c r="B8" s="7" t="s">
        <v>2</v>
      </c>
      <c r="C8" s="7" t="s">
        <v>42</v>
      </c>
      <c r="D8" s="7" t="s">
        <v>34</v>
      </c>
      <c r="E8" s="7">
        <v>48</v>
      </c>
      <c r="F8" s="7">
        <v>22</v>
      </c>
      <c r="G8" s="9">
        <v>1056</v>
      </c>
      <c r="H8" s="9">
        <f t="shared" si="0"/>
        <v>36960</v>
      </c>
      <c r="I8" s="2"/>
      <c r="J8" s="17" t="s">
        <v>54</v>
      </c>
      <c r="K8" s="17"/>
      <c r="L8" s="17"/>
      <c r="M8" s="17"/>
      <c r="N8" s="17"/>
      <c r="O8" s="17"/>
      <c r="P8" s="17"/>
      <c r="T8" s="2"/>
    </row>
    <row r="9" spans="1:20" x14ac:dyDescent="0.2">
      <c r="B9" s="7" t="s">
        <v>4</v>
      </c>
      <c r="C9" s="7" t="s">
        <v>33</v>
      </c>
      <c r="D9" s="7" t="s">
        <v>34</v>
      </c>
      <c r="E9" s="7">
        <v>48</v>
      </c>
      <c r="F9" s="7">
        <v>22</v>
      </c>
      <c r="G9" s="9">
        <v>1056</v>
      </c>
      <c r="H9" s="9">
        <f t="shared" si="0"/>
        <v>36960</v>
      </c>
      <c r="I9" s="2"/>
      <c r="J9" s="14" t="s">
        <v>79</v>
      </c>
      <c r="K9" s="14" t="s">
        <v>80</v>
      </c>
      <c r="L9" s="6" t="s">
        <v>87</v>
      </c>
      <c r="M9" s="14" t="s">
        <v>81</v>
      </c>
      <c r="N9" s="14" t="s">
        <v>82</v>
      </c>
      <c r="O9" s="14" t="s">
        <v>83</v>
      </c>
      <c r="P9" s="14" t="s">
        <v>84</v>
      </c>
      <c r="Q9" s="15" t="s">
        <v>85</v>
      </c>
      <c r="T9" s="2"/>
    </row>
    <row r="10" spans="1:20" x14ac:dyDescent="0.2">
      <c r="B10" s="7" t="s">
        <v>4</v>
      </c>
      <c r="C10" s="7" t="s">
        <v>35</v>
      </c>
      <c r="D10" s="7" t="s">
        <v>29</v>
      </c>
      <c r="E10" s="7">
        <v>48</v>
      </c>
      <c r="F10" s="7">
        <v>20</v>
      </c>
      <c r="G10" s="9">
        <f>F10*E10</f>
        <v>960</v>
      </c>
      <c r="H10" s="9">
        <f>G10*40</f>
        <v>38400</v>
      </c>
      <c r="I10" s="2"/>
      <c r="J10" s="7" t="s">
        <v>2</v>
      </c>
      <c r="K10" s="7" t="s">
        <v>46</v>
      </c>
      <c r="L10" s="7" t="s">
        <v>47</v>
      </c>
      <c r="M10" s="7" t="s">
        <v>22</v>
      </c>
      <c r="N10" s="7">
        <v>80</v>
      </c>
      <c r="O10" s="7">
        <v>26</v>
      </c>
      <c r="P10" s="9">
        <v>2080</v>
      </c>
      <c r="Q10">
        <f>P10*12</f>
        <v>24960</v>
      </c>
      <c r="T10" s="2"/>
    </row>
    <row r="11" spans="1:20" x14ac:dyDescent="0.2">
      <c r="C11" s="1"/>
      <c r="D11" s="1"/>
      <c r="E11" s="1"/>
      <c r="F11" s="1"/>
      <c r="G11" s="1"/>
      <c r="H11" s="1"/>
      <c r="I11" s="2"/>
      <c r="J11" s="7" t="s">
        <v>2</v>
      </c>
      <c r="K11" s="7" t="s">
        <v>48</v>
      </c>
      <c r="L11" s="7" t="s">
        <v>3</v>
      </c>
      <c r="M11" s="7" t="s">
        <v>18</v>
      </c>
      <c r="N11" s="7">
        <v>60</v>
      </c>
      <c r="O11" s="7">
        <v>26</v>
      </c>
      <c r="P11" s="9">
        <v>1560</v>
      </c>
      <c r="Q11">
        <f>P11*16</f>
        <v>24960</v>
      </c>
      <c r="T11" s="2"/>
    </row>
    <row r="12" spans="1:20" x14ac:dyDescent="0.2">
      <c r="C12" s="1"/>
      <c r="D12" s="1"/>
      <c r="E12" s="1"/>
      <c r="F12" s="1"/>
      <c r="G12" s="1"/>
      <c r="H12" s="1"/>
      <c r="I12" s="2"/>
      <c r="J12" s="7" t="s">
        <v>2</v>
      </c>
      <c r="K12" s="7" t="s">
        <v>49</v>
      </c>
      <c r="L12" s="7" t="s">
        <v>50</v>
      </c>
      <c r="M12" s="7" t="s">
        <v>21</v>
      </c>
      <c r="N12" s="7">
        <v>48</v>
      </c>
      <c r="O12" s="7">
        <v>26</v>
      </c>
      <c r="P12" s="9">
        <v>1248</v>
      </c>
      <c r="Q12">
        <f>P12*20</f>
        <v>24960</v>
      </c>
      <c r="T12" s="2"/>
    </row>
    <row r="13" spans="1:20" x14ac:dyDescent="0.2">
      <c r="C13" s="1"/>
      <c r="D13" s="5"/>
      <c r="E13" s="1"/>
      <c r="F13" s="1"/>
      <c r="G13" s="3"/>
      <c r="H13" s="3"/>
      <c r="I13" s="4"/>
      <c r="J13" s="7" t="s">
        <v>4</v>
      </c>
      <c r="K13" s="7" t="s">
        <v>5</v>
      </c>
      <c r="L13" s="7" t="s">
        <v>7</v>
      </c>
      <c r="M13" s="7" t="s">
        <v>51</v>
      </c>
      <c r="N13" s="7">
        <v>48</v>
      </c>
      <c r="O13" s="7">
        <v>26</v>
      </c>
      <c r="P13" s="9">
        <v>1248</v>
      </c>
      <c r="Q13">
        <f>P13*25</f>
        <v>31200</v>
      </c>
      <c r="T13" s="2"/>
    </row>
    <row r="14" spans="1:20" x14ac:dyDescent="0.2">
      <c r="B14" s="17" t="s">
        <v>38</v>
      </c>
      <c r="C14" s="17"/>
      <c r="D14" s="17"/>
      <c r="E14" s="17"/>
      <c r="F14" s="17"/>
      <c r="G14" s="17"/>
      <c r="H14" s="1"/>
      <c r="I14" s="2"/>
      <c r="J14" s="7" t="s">
        <v>4</v>
      </c>
      <c r="K14" s="7" t="s">
        <v>52</v>
      </c>
      <c r="L14" s="7" t="s">
        <v>9</v>
      </c>
      <c r="M14" s="7" t="s">
        <v>8</v>
      </c>
      <c r="N14" s="7">
        <v>80</v>
      </c>
      <c r="O14" s="7">
        <v>26</v>
      </c>
      <c r="P14" s="9">
        <v>2080</v>
      </c>
      <c r="Q14">
        <f>P14*10</f>
        <v>20800</v>
      </c>
      <c r="T14" s="2"/>
    </row>
    <row r="15" spans="1:20" x14ac:dyDescent="0.2"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  <c r="G15" s="6" t="s">
        <v>84</v>
      </c>
      <c r="H15" s="8" t="s">
        <v>85</v>
      </c>
      <c r="I15" s="2"/>
      <c r="J15" s="7" t="s">
        <v>4</v>
      </c>
      <c r="K15" s="7" t="s">
        <v>53</v>
      </c>
      <c r="L15" s="7" t="s">
        <v>9</v>
      </c>
      <c r="M15" s="7" t="s">
        <v>8</v>
      </c>
      <c r="N15" s="7">
        <v>80</v>
      </c>
      <c r="O15" s="7">
        <v>26</v>
      </c>
      <c r="P15" s="9">
        <v>2080</v>
      </c>
      <c r="Q15">
        <f>P15*10</f>
        <v>20800</v>
      </c>
      <c r="T15" s="4"/>
    </row>
    <row r="16" spans="1:20" x14ac:dyDescent="0.2">
      <c r="B16" s="8" t="s">
        <v>2</v>
      </c>
      <c r="C16" s="8" t="s">
        <v>28</v>
      </c>
      <c r="D16" s="8" t="s">
        <v>78</v>
      </c>
      <c r="E16" s="8">
        <v>48</v>
      </c>
      <c r="F16" s="8">
        <v>22</v>
      </c>
      <c r="G16" s="10">
        <v>1056</v>
      </c>
      <c r="H16" s="8">
        <f>1056*36</f>
        <v>38016</v>
      </c>
      <c r="T16" s="2"/>
    </row>
    <row r="17" spans="2:17" x14ac:dyDescent="0.2">
      <c r="B17" s="8" t="s">
        <v>2</v>
      </c>
      <c r="C17" s="8" t="s">
        <v>30</v>
      </c>
      <c r="D17" s="8" t="s">
        <v>78</v>
      </c>
      <c r="E17" s="8">
        <v>48</v>
      </c>
      <c r="F17" s="8">
        <v>22</v>
      </c>
      <c r="G17" s="10">
        <v>1056</v>
      </c>
      <c r="H17" s="8">
        <f>G17*36</f>
        <v>38016</v>
      </c>
      <c r="J17" s="18" t="s">
        <v>67</v>
      </c>
      <c r="K17" s="18"/>
      <c r="L17" s="18"/>
      <c r="M17" s="18"/>
      <c r="N17" s="18"/>
      <c r="O17" s="18"/>
      <c r="P17" s="18"/>
    </row>
    <row r="18" spans="2:17" x14ac:dyDescent="0.2">
      <c r="B18" s="8" t="s">
        <v>2</v>
      </c>
      <c r="C18" s="8" t="s">
        <v>36</v>
      </c>
      <c r="D18" s="8" t="s">
        <v>78</v>
      </c>
      <c r="E18" s="8">
        <v>48</v>
      </c>
      <c r="F18" s="8">
        <v>22</v>
      </c>
      <c r="G18" s="10">
        <v>1056</v>
      </c>
      <c r="H18" s="8">
        <f t="shared" ref="H18:H20" si="1">G18*36</f>
        <v>38016</v>
      </c>
      <c r="J18" s="6" t="s">
        <v>0</v>
      </c>
      <c r="K18" s="6" t="s">
        <v>1</v>
      </c>
      <c r="L18" s="6" t="s">
        <v>55</v>
      </c>
      <c r="M18" s="6" t="s">
        <v>11</v>
      </c>
      <c r="N18" s="6" t="s">
        <v>27</v>
      </c>
      <c r="O18" s="6" t="s">
        <v>13</v>
      </c>
      <c r="P18" s="6" t="s">
        <v>14</v>
      </c>
      <c r="Q18" s="15" t="s">
        <v>85</v>
      </c>
    </row>
    <row r="19" spans="2:17" x14ac:dyDescent="0.2">
      <c r="B19" s="8" t="s">
        <v>2</v>
      </c>
      <c r="C19" s="8" t="s">
        <v>31</v>
      </c>
      <c r="D19" s="8" t="s">
        <v>78</v>
      </c>
      <c r="E19" s="8">
        <v>48</v>
      </c>
      <c r="F19" s="8">
        <v>22</v>
      </c>
      <c r="G19" s="10">
        <v>1056</v>
      </c>
      <c r="H19" s="8">
        <f t="shared" si="1"/>
        <v>38016</v>
      </c>
      <c r="J19" s="7" t="s">
        <v>2</v>
      </c>
      <c r="K19" s="7" t="s">
        <v>56</v>
      </c>
      <c r="L19" s="7" t="s">
        <v>68</v>
      </c>
      <c r="M19" s="7" t="s">
        <v>57</v>
      </c>
      <c r="N19" s="7">
        <v>120</v>
      </c>
      <c r="O19" s="7">
        <v>26</v>
      </c>
      <c r="P19" s="9">
        <f>O19*N19</f>
        <v>3120</v>
      </c>
      <c r="Q19" s="7">
        <f>P19*11</f>
        <v>34320</v>
      </c>
    </row>
    <row r="20" spans="2:17" x14ac:dyDescent="0.2">
      <c r="B20" s="8" t="s">
        <v>2</v>
      </c>
      <c r="C20" s="8" t="s">
        <v>32</v>
      </c>
      <c r="D20" s="8" t="s">
        <v>78</v>
      </c>
      <c r="E20" s="8">
        <v>48</v>
      </c>
      <c r="F20" s="8">
        <v>22</v>
      </c>
      <c r="G20" s="10">
        <v>1056</v>
      </c>
      <c r="H20" s="8">
        <f t="shared" si="1"/>
        <v>38016</v>
      </c>
      <c r="J20" s="7" t="s">
        <v>2</v>
      </c>
      <c r="K20" s="7" t="s">
        <v>58</v>
      </c>
      <c r="L20" s="7" t="s">
        <v>69</v>
      </c>
      <c r="M20" s="7" t="s">
        <v>22</v>
      </c>
      <c r="N20" s="7">
        <v>120</v>
      </c>
      <c r="O20" s="7">
        <v>26</v>
      </c>
      <c r="P20" s="9">
        <f t="shared" ref="P20:P28" si="2">O20*N20</f>
        <v>3120</v>
      </c>
      <c r="Q20" s="7">
        <f>P20*12</f>
        <v>37440</v>
      </c>
    </row>
    <row r="21" spans="2:17" x14ac:dyDescent="0.2">
      <c r="B21" s="8" t="s">
        <v>4</v>
      </c>
      <c r="C21" s="8" t="s">
        <v>33</v>
      </c>
      <c r="D21" s="8" t="s">
        <v>34</v>
      </c>
      <c r="E21" s="8">
        <v>48</v>
      </c>
      <c r="F21" s="8">
        <v>22</v>
      </c>
      <c r="G21" s="10">
        <v>1056</v>
      </c>
      <c r="H21" s="8">
        <f>G21*35</f>
        <v>36960</v>
      </c>
      <c r="J21" s="7" t="s">
        <v>2</v>
      </c>
      <c r="K21" s="7" t="s">
        <v>73</v>
      </c>
      <c r="L21" s="7" t="s">
        <v>74</v>
      </c>
      <c r="M21" s="7" t="s">
        <v>18</v>
      </c>
      <c r="N21" s="7">
        <v>80</v>
      </c>
      <c r="O21" s="7">
        <v>26</v>
      </c>
      <c r="P21" s="9">
        <f t="shared" si="2"/>
        <v>2080</v>
      </c>
      <c r="Q21" s="7">
        <f>P21*16</f>
        <v>33280</v>
      </c>
    </row>
    <row r="22" spans="2:17" x14ac:dyDescent="0.2">
      <c r="B22" s="8" t="s">
        <v>4</v>
      </c>
      <c r="C22" s="8" t="s">
        <v>35</v>
      </c>
      <c r="D22" s="8" t="s">
        <v>29</v>
      </c>
      <c r="E22" s="8">
        <v>48</v>
      </c>
      <c r="F22" s="8">
        <v>20</v>
      </c>
      <c r="G22" s="10">
        <f>F22*E22</f>
        <v>960</v>
      </c>
      <c r="H22" s="8">
        <f>G22*40</f>
        <v>38400</v>
      </c>
      <c r="I22" s="3"/>
      <c r="J22" s="7" t="s">
        <v>2</v>
      </c>
      <c r="K22" s="7" t="s">
        <v>59</v>
      </c>
      <c r="L22" s="7" t="s">
        <v>71</v>
      </c>
      <c r="M22" s="7" t="s">
        <v>60</v>
      </c>
      <c r="N22" s="7">
        <v>120</v>
      </c>
      <c r="O22" s="7">
        <v>26</v>
      </c>
      <c r="P22" s="9">
        <f t="shared" si="2"/>
        <v>3120</v>
      </c>
      <c r="Q22" s="7">
        <f>P22*9</f>
        <v>28080</v>
      </c>
    </row>
    <row r="23" spans="2:17" x14ac:dyDescent="0.2">
      <c r="B23" s="11"/>
      <c r="C23" s="11"/>
      <c r="D23" s="11"/>
      <c r="E23" s="12"/>
      <c r="F23" s="11"/>
      <c r="G23" s="13"/>
      <c r="J23" s="7" t="s">
        <v>2</v>
      </c>
      <c r="K23" s="7" t="s">
        <v>61</v>
      </c>
      <c r="L23" s="7" t="s">
        <v>72</v>
      </c>
      <c r="M23" s="7" t="s">
        <v>62</v>
      </c>
      <c r="N23" s="7">
        <v>100</v>
      </c>
      <c r="O23" s="7">
        <v>26</v>
      </c>
      <c r="P23" s="9">
        <f t="shared" si="2"/>
        <v>2600</v>
      </c>
      <c r="Q23" s="7">
        <f>P23*14</f>
        <v>36400</v>
      </c>
    </row>
    <row r="24" spans="2:17" x14ac:dyDescent="0.2">
      <c r="C24" s="1"/>
      <c r="E24" s="1"/>
      <c r="J24" s="7" t="s">
        <v>2</v>
      </c>
      <c r="K24" s="7" t="s">
        <v>63</v>
      </c>
      <c r="L24" s="7" t="s">
        <v>75</v>
      </c>
      <c r="M24" s="7" t="s">
        <v>21</v>
      </c>
      <c r="N24" s="7">
        <v>50</v>
      </c>
      <c r="O24" s="7">
        <v>26</v>
      </c>
      <c r="P24" s="9">
        <f t="shared" si="2"/>
        <v>1300</v>
      </c>
      <c r="Q24" s="7">
        <f>P24*20</f>
        <v>26000</v>
      </c>
    </row>
    <row r="25" spans="2:17" x14ac:dyDescent="0.2">
      <c r="C25" s="1"/>
      <c r="J25" s="7" t="s">
        <v>4</v>
      </c>
      <c r="K25" s="7" t="s">
        <v>5</v>
      </c>
      <c r="L25" s="7" t="s">
        <v>76</v>
      </c>
      <c r="M25" s="7" t="s">
        <v>57</v>
      </c>
      <c r="N25" s="7">
        <v>120</v>
      </c>
      <c r="O25" s="7">
        <v>26</v>
      </c>
      <c r="P25" s="9">
        <f t="shared" si="2"/>
        <v>3120</v>
      </c>
      <c r="Q25" s="7">
        <f>P25*11</f>
        <v>34320</v>
      </c>
    </row>
    <row r="26" spans="2:17" x14ac:dyDescent="0.2">
      <c r="C26" s="1"/>
      <c r="D26" s="5"/>
      <c r="E26" s="1"/>
      <c r="J26" s="7" t="s">
        <v>4</v>
      </c>
      <c r="K26" s="7" t="s">
        <v>5</v>
      </c>
      <c r="L26" s="7" t="s">
        <v>76</v>
      </c>
      <c r="M26" s="7" t="s">
        <v>64</v>
      </c>
      <c r="N26" s="7">
        <v>50</v>
      </c>
      <c r="O26" s="7">
        <v>26</v>
      </c>
      <c r="P26" s="9">
        <f t="shared" si="2"/>
        <v>1300</v>
      </c>
      <c r="Q26" s="7">
        <f>P26*28</f>
        <v>36400</v>
      </c>
    </row>
    <row r="27" spans="2:17" x14ac:dyDescent="0.2">
      <c r="C27" s="1"/>
      <c r="D27" s="5"/>
      <c r="E27" s="1"/>
      <c r="J27" s="7" t="s">
        <v>4</v>
      </c>
      <c r="K27" s="7" t="s">
        <v>65</v>
      </c>
      <c r="L27" s="7" t="s">
        <v>77</v>
      </c>
      <c r="M27" s="7" t="s">
        <v>6</v>
      </c>
      <c r="N27" s="7">
        <v>120</v>
      </c>
      <c r="O27" s="7">
        <v>26</v>
      </c>
      <c r="P27" s="9">
        <f t="shared" si="2"/>
        <v>3120</v>
      </c>
      <c r="Q27" s="7">
        <f>P27*5</f>
        <v>15600</v>
      </c>
    </row>
    <row r="28" spans="2:17" x14ac:dyDescent="0.2">
      <c r="C28" s="1"/>
      <c r="D28" s="5"/>
      <c r="E28" s="1"/>
      <c r="J28" s="7" t="s">
        <v>4</v>
      </c>
      <c r="K28" s="7" t="s">
        <v>66</v>
      </c>
      <c r="L28" s="7" t="s">
        <v>77</v>
      </c>
      <c r="M28" s="7" t="s">
        <v>6</v>
      </c>
      <c r="N28" s="7">
        <v>120</v>
      </c>
      <c r="O28" s="7">
        <v>26</v>
      </c>
      <c r="P28" s="9">
        <f t="shared" si="2"/>
        <v>3120</v>
      </c>
      <c r="Q28" s="7">
        <f>P28*5</f>
        <v>15600</v>
      </c>
    </row>
    <row r="29" spans="2:17" x14ac:dyDescent="0.2">
      <c r="C29" s="1"/>
      <c r="D29" s="5"/>
      <c r="E29" s="1"/>
      <c r="J29" s="1"/>
      <c r="K29" s="1"/>
      <c r="L29" s="1"/>
      <c r="M29" s="1"/>
      <c r="N29" s="1"/>
      <c r="O29" s="1"/>
      <c r="P29" s="2"/>
    </row>
    <row r="30" spans="2:17" x14ac:dyDescent="0.2">
      <c r="C30" s="1"/>
      <c r="D30" s="5"/>
      <c r="E30" s="1"/>
    </row>
    <row r="31" spans="2:17" x14ac:dyDescent="0.2">
      <c r="B31" s="16" t="s">
        <v>37</v>
      </c>
      <c r="C31" s="16"/>
      <c r="D31" s="16"/>
      <c r="E31" s="16"/>
      <c r="F31" s="16"/>
      <c r="G31" s="16"/>
      <c r="H31" s="16"/>
      <c r="I31" s="16"/>
      <c r="J31" s="16"/>
    </row>
    <row r="32" spans="2:17" x14ac:dyDescent="0.2">
      <c r="B32" s="6" t="s">
        <v>0</v>
      </c>
      <c r="C32" s="6" t="s">
        <v>1</v>
      </c>
      <c r="D32" s="6" t="s">
        <v>55</v>
      </c>
      <c r="E32" s="6" t="s">
        <v>11</v>
      </c>
      <c r="F32" s="6" t="s">
        <v>27</v>
      </c>
      <c r="G32" s="6" t="s">
        <v>12</v>
      </c>
      <c r="H32" s="6" t="s">
        <v>13</v>
      </c>
      <c r="I32" s="6" t="s">
        <v>14</v>
      </c>
      <c r="J32" s="6" t="s">
        <v>26</v>
      </c>
    </row>
    <row r="33" spans="2:10" x14ac:dyDescent="0.2">
      <c r="B33" s="7" t="s">
        <v>2</v>
      </c>
      <c r="C33" s="6" t="s">
        <v>10</v>
      </c>
      <c r="D33" s="7" t="s">
        <v>23</v>
      </c>
      <c r="E33" s="8" t="s">
        <v>22</v>
      </c>
      <c r="F33" s="7">
        <v>80</v>
      </c>
      <c r="G33" s="7" t="s">
        <v>88</v>
      </c>
      <c r="H33" s="7">
        <v>26</v>
      </c>
      <c r="I33" s="7">
        <f>H33*F33</f>
        <v>2080</v>
      </c>
      <c r="J33" s="7">
        <f>I33*12</f>
        <v>24960</v>
      </c>
    </row>
    <row r="34" spans="2:10" x14ac:dyDescent="0.2">
      <c r="B34" s="7" t="s">
        <v>2</v>
      </c>
      <c r="C34" s="6" t="s">
        <v>15</v>
      </c>
      <c r="D34" s="7" t="s">
        <v>25</v>
      </c>
      <c r="E34" s="6" t="s">
        <v>16</v>
      </c>
      <c r="F34" s="7">
        <v>132</v>
      </c>
      <c r="G34" s="7" t="s">
        <v>89</v>
      </c>
      <c r="H34" s="7">
        <v>26</v>
      </c>
      <c r="I34" s="7">
        <f t="shared" ref="I34:I37" si="3">H34*F34</f>
        <v>3432</v>
      </c>
      <c r="J34" s="7">
        <f>I34*7</f>
        <v>24024</v>
      </c>
    </row>
    <row r="35" spans="2:10" x14ac:dyDescent="0.2">
      <c r="B35" s="7" t="s">
        <v>2</v>
      </c>
      <c r="C35" s="6" t="s">
        <v>17</v>
      </c>
      <c r="D35" s="7" t="s">
        <v>24</v>
      </c>
      <c r="E35" s="6" t="s">
        <v>18</v>
      </c>
      <c r="F35" s="7">
        <v>50</v>
      </c>
      <c r="G35" s="7" t="s">
        <v>90</v>
      </c>
      <c r="H35" s="7">
        <v>24</v>
      </c>
      <c r="I35" s="7">
        <f t="shared" si="3"/>
        <v>1200</v>
      </c>
      <c r="J35" s="7">
        <f>I35*16</f>
        <v>19200</v>
      </c>
    </row>
    <row r="36" spans="2:10" x14ac:dyDescent="0.2">
      <c r="B36" s="7" t="s">
        <v>4</v>
      </c>
      <c r="C36" s="6" t="s">
        <v>19</v>
      </c>
      <c r="D36" s="7" t="s">
        <v>70</v>
      </c>
      <c r="E36" s="6" t="s">
        <v>8</v>
      </c>
      <c r="F36" s="7">
        <v>80</v>
      </c>
      <c r="G36" s="7" t="s">
        <v>90</v>
      </c>
      <c r="H36" s="7">
        <v>24</v>
      </c>
      <c r="I36" s="7">
        <f t="shared" si="3"/>
        <v>1920</v>
      </c>
      <c r="J36" s="7">
        <f>I36*10</f>
        <v>19200</v>
      </c>
    </row>
    <row r="37" spans="2:10" x14ac:dyDescent="0.2">
      <c r="B37" s="7" t="s">
        <v>4</v>
      </c>
      <c r="C37" s="6" t="s">
        <v>20</v>
      </c>
      <c r="D37" s="7" t="s">
        <v>70</v>
      </c>
      <c r="E37" s="6" t="s">
        <v>21</v>
      </c>
      <c r="F37" s="7">
        <v>35</v>
      </c>
      <c r="G37" s="7" t="s">
        <v>90</v>
      </c>
      <c r="H37" s="7">
        <v>24</v>
      </c>
      <c r="I37" s="7">
        <f t="shared" si="3"/>
        <v>840</v>
      </c>
      <c r="J37" s="7">
        <f>I37*20</f>
        <v>16800</v>
      </c>
    </row>
  </sheetData>
  <mergeCells count="6">
    <mergeCell ref="B31:J31"/>
    <mergeCell ref="B14:G14"/>
    <mergeCell ref="B3:G3"/>
    <mergeCell ref="J3:O3"/>
    <mergeCell ref="J8:P8"/>
    <mergeCell ref="J17:P1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Fierro</dc:creator>
  <cp:lastModifiedBy>Miguel Arambula</cp:lastModifiedBy>
  <dcterms:created xsi:type="dcterms:W3CDTF">2026-07-29T14:18:14Z</dcterms:created>
  <dcterms:modified xsi:type="dcterms:W3CDTF">2026-08-15T12:45:05Z</dcterms:modified>
</cp:coreProperties>
</file>